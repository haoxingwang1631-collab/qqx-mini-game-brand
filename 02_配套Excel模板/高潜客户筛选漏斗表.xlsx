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基础信息池" sheetId="1" state="visible" r:id="rId1"/>
    <sheet xmlns:r="http://schemas.openxmlformats.org/officeDocument/2006/relationships" name="筛选评分表" sheetId="2" state="visible" r:id="rId2"/>
    <sheet xmlns:r="http://schemas.openxmlformats.org/officeDocument/2006/relationships" name="客户分档结果" sheetId="3" state="visible" r:id="rId3"/>
    <sheet xmlns:r="http://schemas.openxmlformats.org/officeDocument/2006/relationships" name="筛选日志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A73E8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A73E8"/>
      </patternFill>
    </fill>
    <fill>
      <patternFill patternType="solid">
        <fgColor rgb="00E8F0FE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5" customHeight="1">
      <c r="A1" s="1" t="inlineStr">
        <is>
          <t>🌊 客户基础信息池</t>
        </is>
      </c>
    </row>
    <row r="2">
      <c r="A2" s="2" t="inlineStr">
        <is>
          <t>序号</t>
        </is>
      </c>
      <c r="B2" s="2" t="inlineStr">
        <is>
          <t>客户/公司名称</t>
        </is>
      </c>
      <c r="C2" s="2" t="inlineStr">
        <is>
          <t>游戏名称</t>
        </is>
      </c>
      <c r="D2" s="2" t="inlineStr">
        <is>
          <t>游戏品类</t>
        </is>
      </c>
      <c r="E2" s="2" t="inlineStr">
        <is>
          <t>上线日期</t>
        </is>
      </c>
      <c r="F2" s="2" t="inlineStr">
        <is>
          <t>DAU(万)</t>
        </is>
      </c>
      <c r="G2" s="2" t="inlineStr">
        <is>
          <t>月流水(万)</t>
        </is>
      </c>
      <c r="H2" s="2" t="inlineStr">
        <is>
          <t>变现模式</t>
        </is>
      </c>
      <c r="I2" s="2" t="inlineStr">
        <is>
          <t>年轻用户占比</t>
        </is>
      </c>
      <c r="J2" s="2" t="inlineStr">
        <is>
          <t>内容调性</t>
        </is>
      </c>
      <c r="K2" s="2" t="inlineStr">
        <is>
          <t>已知投放平台</t>
        </is>
      </c>
      <c r="L2" s="2" t="inlineStr">
        <is>
          <t>信息来源</t>
        </is>
      </c>
    </row>
    <row r="3">
      <c r="A3" s="3" t="n">
        <v>1</v>
      </c>
      <c r="B3" s="3" t="inlineStr">
        <is>
          <t>XX游戏科技</t>
        </is>
      </c>
      <c r="C3" s="3" t="inlineStr">
        <is>
          <t>开心消消乐2</t>
        </is>
      </c>
      <c r="D3" s="3" t="inlineStr">
        <is>
          <t>休闲</t>
        </is>
      </c>
      <c r="E3" s="3" t="inlineStr">
        <is>
          <t>2024/06/15</t>
        </is>
      </c>
      <c r="F3" s="3" t="n">
        <v>350</v>
      </c>
      <c r="G3" s="3" t="n">
        <v>800</v>
      </c>
      <c r="H3" s="3" t="inlineStr">
        <is>
          <t>IAA+IAP混合</t>
        </is>
      </c>
      <c r="I3" s="3" t="inlineStr">
        <is>
          <t>55%</t>
        </is>
      </c>
      <c r="J3" s="3" t="inlineStr">
        <is>
          <t>年轻潮流/社交向</t>
        </is>
      </c>
      <c r="K3" s="3" t="inlineStr">
        <is>
          <t>抖音/微信</t>
        </is>
      </c>
      <c r="L3" s="3" t="inlineStr">
        <is>
          <t>情报周报</t>
        </is>
      </c>
    </row>
    <row r="4">
      <c r="A4" s="3" t="n">
        <v>2</v>
      </c>
      <c r="B4" s="3" t="inlineStr">
        <is>
          <t>YY互娱</t>
        </is>
      </c>
      <c r="C4" s="3" t="inlineStr">
        <is>
          <t>王国纪元Lite</t>
        </is>
      </c>
      <c r="D4" s="3" t="inlineStr">
        <is>
          <t>SLG</t>
        </is>
      </c>
      <c r="E4" s="3" t="inlineStr">
        <is>
          <t>2025/01/20</t>
        </is>
      </c>
      <c r="F4" s="3" t="n">
        <v>120</v>
      </c>
      <c r="G4" s="3" t="n">
        <v>1500</v>
      </c>
      <c r="H4" s="3" t="inlineStr">
        <is>
          <t>IAA+IAP混合</t>
        </is>
      </c>
      <c r="I4" s="3" t="inlineStr">
        <is>
          <t>40%</t>
        </is>
      </c>
      <c r="J4" s="3" t="inlineStr">
        <is>
          <t>泛娱乐</t>
        </is>
      </c>
      <c r="K4" s="3" t="inlineStr">
        <is>
          <t>抖音/快手</t>
        </is>
      </c>
      <c r="L4" s="3" t="inlineStr">
        <is>
          <t>DataTalk</t>
        </is>
      </c>
    </row>
    <row r="5">
      <c r="A5" s="3" t="n">
        <v>3</v>
      </c>
      <c r="B5" s="3" t="inlineStr">
        <is>
          <t>ZZ网络</t>
        </is>
      </c>
      <c r="C5" s="3" t="inlineStr">
        <is>
          <t>我的小店</t>
        </is>
      </c>
      <c r="D5" s="3" t="inlineStr">
        <is>
          <t>模拟经营</t>
        </is>
      </c>
      <c r="E5" s="3" t="inlineStr">
        <is>
          <t>2025/03/10</t>
        </is>
      </c>
      <c r="F5" s="3" t="n">
        <v>200</v>
      </c>
      <c r="G5" s="3" t="n">
        <v>400</v>
      </c>
      <c r="H5" s="3" t="inlineStr">
        <is>
          <t>纯IAA</t>
        </is>
      </c>
      <c r="I5" s="3" t="inlineStr">
        <is>
          <t>60%</t>
        </is>
      </c>
      <c r="J5" s="3" t="inlineStr">
        <is>
          <t>年轻潮流/社交向</t>
        </is>
      </c>
      <c r="K5" s="3" t="inlineStr">
        <is>
          <t>微信</t>
        </is>
      </c>
      <c r="L5" s="3" t="inlineStr">
        <is>
          <t>阿拉丁榜单</t>
        </is>
      </c>
    </row>
    <row r="6">
      <c r="A6" s="3" t="n">
        <v>4</v>
      </c>
      <c r="B6" s="3" t="inlineStr">
        <is>
          <t>AA工作室</t>
        </is>
      </c>
      <c r="C6" s="3" t="inlineStr">
        <is>
          <t>脑洞大挑战</t>
        </is>
      </c>
      <c r="D6" s="3" t="inlineStr">
        <is>
          <t>休闲</t>
        </is>
      </c>
      <c r="E6" s="3" t="inlineStr">
        <is>
          <t>2024/09/01</t>
        </is>
      </c>
      <c r="F6" s="3" t="n">
        <v>500</v>
      </c>
      <c r="G6" s="3" t="n">
        <v>600</v>
      </c>
      <c r="H6" s="3" t="inlineStr">
        <is>
          <t>纯IAA</t>
        </is>
      </c>
      <c r="I6" s="3" t="inlineStr">
        <is>
          <t>65%</t>
        </is>
      </c>
      <c r="J6" s="3" t="inlineStr">
        <is>
          <t>年轻潮流/社交向</t>
        </is>
      </c>
      <c r="K6" s="3" t="inlineStr">
        <is>
          <t>抖音/微信/快手</t>
        </is>
      </c>
      <c r="L6" s="3" t="inlineStr">
        <is>
          <t>情报周报</t>
        </is>
      </c>
    </row>
    <row r="7">
      <c r="A7" s="3" t="n">
        <v>5</v>
      </c>
      <c r="B7" s="3" t="inlineStr">
        <is>
          <t>BB科技</t>
        </is>
      </c>
      <c r="C7" s="3" t="inlineStr">
        <is>
          <t>末日要塞</t>
        </is>
      </c>
      <c r="D7" s="3" t="inlineStr">
        <is>
          <t>SLG</t>
        </is>
      </c>
      <c r="E7" s="3" t="inlineStr">
        <is>
          <t>2024/12/05</t>
        </is>
      </c>
      <c r="F7" s="3" t="n">
        <v>80</v>
      </c>
      <c r="G7" s="3" t="n">
        <v>2000</v>
      </c>
      <c r="H7" s="3" t="inlineStr">
        <is>
          <t>纯IAP</t>
        </is>
      </c>
      <c r="I7" s="3" t="inlineStr">
        <is>
          <t>35%</t>
        </is>
      </c>
      <c r="J7" s="3" t="inlineStr">
        <is>
          <t>泛娱乐</t>
        </is>
      </c>
      <c r="K7" s="3" t="inlineStr">
        <is>
          <t>抖音</t>
        </is>
      </c>
      <c r="L7" s="3" t="inlineStr">
        <is>
          <t>销售推荐</t>
        </is>
      </c>
    </row>
    <row r="8">
      <c r="A8" s="3" t="n">
        <v>6</v>
      </c>
      <c r="B8" s="3" t="inlineStr">
        <is>
          <t>CC游戏</t>
        </is>
      </c>
      <c r="C8" s="3" t="inlineStr">
        <is>
          <t>合成大作战</t>
        </is>
      </c>
      <c r="D8" s="3" t="inlineStr">
        <is>
          <t>休闲</t>
        </is>
      </c>
      <c r="E8" s="3" t="inlineStr">
        <is>
          <t>2025/06/20</t>
        </is>
      </c>
      <c r="F8" s="3" t="n">
        <v>180</v>
      </c>
      <c r="G8" s="3" t="n">
        <v>350</v>
      </c>
      <c r="H8" s="3" t="inlineStr">
        <is>
          <t>纯IAA</t>
        </is>
      </c>
      <c r="I8" s="3" t="inlineStr">
        <is>
          <t>70%</t>
        </is>
      </c>
      <c r="J8" s="3" t="inlineStr">
        <is>
          <t>年轻潮流/社交向</t>
        </is>
      </c>
      <c r="K8" s="3" t="inlineStr">
        <is>
          <t>微信</t>
        </is>
      </c>
      <c r="L8" s="3" t="inlineStr">
        <is>
          <t>阿拉丁榜单</t>
        </is>
      </c>
    </row>
    <row r="9">
      <c r="A9" s="3" t="n">
        <v>7</v>
      </c>
      <c r="B9" s="3" t="inlineStr">
        <is>
          <t>DD互动</t>
        </is>
      </c>
      <c r="C9" s="3" t="inlineStr">
        <is>
          <t>梦想家园</t>
        </is>
      </c>
      <c r="D9" s="3" t="inlineStr">
        <is>
          <t>模拟经营</t>
        </is>
      </c>
      <c r="E9" s="3" t="inlineStr">
        <is>
          <t>2025/02/14</t>
        </is>
      </c>
      <c r="F9" s="3" t="n">
        <v>150</v>
      </c>
      <c r="G9" s="3" t="n">
        <v>500</v>
      </c>
      <c r="H9" s="3" t="inlineStr">
        <is>
          <t>IAA+IAP混合</t>
        </is>
      </c>
      <c r="I9" s="3" t="inlineStr">
        <is>
          <t>50%</t>
        </is>
      </c>
      <c r="J9" s="3" t="inlineStr">
        <is>
          <t>年轻潮流/社交向</t>
        </is>
      </c>
      <c r="K9" s="3" t="inlineStr">
        <is>
          <t>微信/小红书</t>
        </is>
      </c>
      <c r="L9" s="3" t="inlineStr">
        <is>
          <t>情报周报</t>
        </is>
      </c>
    </row>
    <row r="10">
      <c r="A10" s="3" t="n">
        <v>8</v>
      </c>
      <c r="B10" s="3" t="inlineStr">
        <is>
          <t>EE网络</t>
        </is>
      </c>
      <c r="C10" s="3" t="inlineStr">
        <is>
          <t>卡牌大师</t>
        </is>
      </c>
      <c r="D10" s="3" t="inlineStr">
        <is>
          <t>卡牌</t>
        </is>
      </c>
      <c r="E10" s="3" t="inlineStr">
        <is>
          <t>2024/11/10</t>
        </is>
      </c>
      <c r="F10" s="3" t="n">
        <v>90</v>
      </c>
      <c r="G10" s="3" t="n">
        <v>900</v>
      </c>
      <c r="H10" s="3" t="inlineStr">
        <is>
          <t>IAA+IAP混合</t>
        </is>
      </c>
      <c r="I10" s="3" t="inlineStr">
        <is>
          <t>45%</t>
        </is>
      </c>
      <c r="J10" s="3" t="inlineStr">
        <is>
          <t>泛娱乐</t>
        </is>
      </c>
      <c r="K10" s="3" t="inlineStr">
        <is>
          <t>抖音/微信</t>
        </is>
      </c>
      <c r="L10" s="3" t="inlineStr">
        <is>
          <t>DataTalk</t>
        </is>
      </c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</row>
  </sheetData>
  <mergeCells count="1">
    <mergeCell ref="A1:L1"/>
  </mergeCells>
  <dataValidations count="3">
    <dataValidation sqref="D3 D4 D5 D6 D7 D8 D9 D10 D11 D12 D13 D14 D15 D16 D17 D18 D19 D20 D21 D22" showDropDown="0" showInputMessage="0" showErrorMessage="0" allowBlank="0" type="list">
      <formula1>"休闲,SLG,模拟经营,卡牌,RPG,竞技,益智,社交,其他"</formula1>
    </dataValidation>
    <dataValidation sqref="H3 H4 H5 H6 H7 H8 H9 H10 H11 H12 H13 H14 H15 H16 H17 H18 H19 H20 H21 H22" showDropDown="0" showInputMessage="0" showErrorMessage="0" allowBlank="0" type="list">
      <formula1>"纯IAA,IAA+IAP混合,纯IAP,订阅制,其他"</formula1>
    </dataValidation>
    <dataValidation sqref="J3 J4 J5 J6 J7 J8 J9 J10 J11 J12 J13 J14 J15 J16 J17 J18 J19 J20 J21 J22" showDropDown="0" showInputMessage="0" showErrorMessage="0" allowBlank="0" type="list">
      <formula1>"年轻潮流/社交向,泛娱乐,偏成熟/商务,其他"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35" customHeight="1">
      <c r="A1" s="1" t="inlineStr">
        <is>
          <t>🎯 四维筛选评分表（自动加权计算）</t>
        </is>
      </c>
    </row>
    <row r="2">
      <c r="A2" s="2" t="inlineStr">
        <is>
          <t>客户名称</t>
        </is>
      </c>
      <c r="B2" s="2" t="inlineStr">
        <is>
          <t>游戏名称</t>
        </is>
      </c>
      <c r="C2" s="2" t="inlineStr">
        <is>
          <t>基础面-DAU</t>
        </is>
      </c>
      <c r="D2" s="2" t="inlineStr">
        <is>
          <t>基础面-上线时长</t>
        </is>
      </c>
      <c r="E2" s="2" t="inlineStr">
        <is>
          <t>基础面-品类契合</t>
        </is>
      </c>
      <c r="F2" s="2" t="inlineStr">
        <is>
          <t>基础面小计(25%)</t>
        </is>
      </c>
      <c r="G2" s="2" t="inlineStr">
        <is>
          <t>商业化-IAA收入</t>
        </is>
      </c>
      <c r="H2" s="2" t="inlineStr">
        <is>
          <t>商业化-投放活跃</t>
        </is>
      </c>
      <c r="I2" s="2" t="inlineStr">
        <is>
          <t>商业化-变现模式</t>
        </is>
      </c>
      <c r="J2" s="2" t="inlineStr">
        <is>
          <t>商业化小计(30%)</t>
        </is>
      </c>
      <c r="K2" s="2" t="inlineStr">
        <is>
          <t>QQ契合-画像重合</t>
        </is>
      </c>
      <c r="L2" s="2" t="inlineStr">
        <is>
          <t>QQ契合-调性匹配</t>
        </is>
      </c>
      <c r="M2" s="2" t="inlineStr">
        <is>
          <t>QQ契合-IP社交</t>
        </is>
      </c>
      <c r="N2" s="2" t="inlineStr">
        <is>
          <t>QQ契合小计(25%)</t>
        </is>
      </c>
      <c r="O2" s="2" t="inlineStr">
        <is>
          <t>预算-历史预算</t>
        </is>
      </c>
      <c r="P2" s="2" t="inlineStr">
        <is>
          <t>预算-品牌意愿</t>
        </is>
      </c>
      <c r="Q2" s="2" t="inlineStr">
        <is>
          <t>预算-竞媒活跃</t>
        </is>
      </c>
      <c r="R2" s="2" t="inlineStr">
        <is>
          <t>预算小计(20%)</t>
        </is>
      </c>
      <c r="S2" s="2" t="inlineStr">
        <is>
          <t>综合得分</t>
        </is>
      </c>
      <c r="T2" s="2" t="inlineStr">
        <is>
          <t>客户等级</t>
        </is>
      </c>
    </row>
    <row r="3">
      <c r="A3" s="3" t="inlineStr">
        <is>
          <t>XX游戏科技</t>
        </is>
      </c>
      <c r="B3" s="3" t="inlineStr">
        <is>
          <t>开心消消乐2</t>
        </is>
      </c>
      <c r="C3" s="4" t="n">
        <v>5</v>
      </c>
      <c r="D3" s="4" t="n">
        <v>5</v>
      </c>
      <c r="E3" s="4" t="n">
        <v>5</v>
      </c>
      <c r="F3" s="4">
        <f>AVERAGE(C3:E3)</f>
        <v/>
      </c>
      <c r="G3" s="5" t="n">
        <v>5</v>
      </c>
      <c r="H3" s="5" t="n">
        <v>5</v>
      </c>
      <c r="I3" s="5" t="n">
        <v>5</v>
      </c>
      <c r="J3" s="5">
        <f>AVERAGE(G3:I3)</f>
        <v/>
      </c>
      <c r="K3" s="6" t="n">
        <v>5</v>
      </c>
      <c r="L3" s="6" t="n">
        <v>5</v>
      </c>
      <c r="M3" s="6" t="n">
        <v>4</v>
      </c>
      <c r="N3" s="6">
        <f>AVERAGE(K3:M3)</f>
        <v/>
      </c>
      <c r="O3" s="7" t="n">
        <v>4</v>
      </c>
      <c r="P3" s="7" t="n">
        <v>4</v>
      </c>
      <c r="Q3" s="7" t="n">
        <v>5</v>
      </c>
      <c r="R3" s="7">
        <f>AVERAGE(O3:Q3)</f>
        <v/>
      </c>
      <c r="S3" s="8">
        <f>F3*0.25+J3*0.3+N3*0.25+R3*0.2</f>
        <v/>
      </c>
      <c r="T3" s="8">
        <f>IF(S3&gt;=4,"S",IF(S3&gt;=3,"A",IF(S3&gt;=2,"B","C")))</f>
        <v/>
      </c>
    </row>
    <row r="4">
      <c r="A4" s="3" t="inlineStr">
        <is>
          <t>YY互娱</t>
        </is>
      </c>
      <c r="B4" s="3" t="inlineStr">
        <is>
          <t>王国纪元Lite</t>
        </is>
      </c>
      <c r="C4" s="4" t="n">
        <v>3</v>
      </c>
      <c r="D4" s="4" t="n">
        <v>4</v>
      </c>
      <c r="E4" s="4" t="n">
        <v>3</v>
      </c>
      <c r="F4" s="4">
        <f>AVERAGE(C4:E4)</f>
        <v/>
      </c>
      <c r="G4" s="5" t="n">
        <v>5</v>
      </c>
      <c r="H4" s="5" t="n">
        <v>4</v>
      </c>
      <c r="I4" s="5" t="n">
        <v>5</v>
      </c>
      <c r="J4" s="5">
        <f>AVERAGE(G4:I4)</f>
        <v/>
      </c>
      <c r="K4" s="6" t="n">
        <v>3</v>
      </c>
      <c r="L4" s="6" t="n">
        <v>3</v>
      </c>
      <c r="M4" s="6" t="n">
        <v>3</v>
      </c>
      <c r="N4" s="6">
        <f>AVERAGE(K4:M4)</f>
        <v/>
      </c>
      <c r="O4" s="7" t="n">
        <v>5</v>
      </c>
      <c r="P4" s="7" t="n">
        <v>4</v>
      </c>
      <c r="Q4" s="7" t="n">
        <v>4</v>
      </c>
      <c r="R4" s="7">
        <f>AVERAGE(O4:Q4)</f>
        <v/>
      </c>
      <c r="S4" s="8">
        <f>F4*0.25+J4*0.3+N4*0.25+R4*0.2</f>
        <v/>
      </c>
      <c r="T4" s="8">
        <f>IF(S4&gt;=4,"S",IF(S4&gt;=3,"A",IF(S4&gt;=2,"B","C")))</f>
        <v/>
      </c>
    </row>
    <row r="5">
      <c r="A5" s="3" t="inlineStr">
        <is>
          <t>ZZ网络</t>
        </is>
      </c>
      <c r="B5" s="3" t="inlineStr">
        <is>
          <t>我的小店</t>
        </is>
      </c>
      <c r="C5" s="4" t="n">
        <v>4</v>
      </c>
      <c r="D5" s="4" t="n">
        <v>4</v>
      </c>
      <c r="E5" s="4" t="n">
        <v>4</v>
      </c>
      <c r="F5" s="4">
        <f>AVERAGE(C5:E5)</f>
        <v/>
      </c>
      <c r="G5" s="5" t="n">
        <v>3</v>
      </c>
      <c r="H5" s="5" t="n">
        <v>2</v>
      </c>
      <c r="I5" s="5" t="n">
        <v>4</v>
      </c>
      <c r="J5" s="5">
        <f>AVERAGE(G5:I5)</f>
        <v/>
      </c>
      <c r="K5" s="6" t="n">
        <v>5</v>
      </c>
      <c r="L5" s="6" t="n">
        <v>5</v>
      </c>
      <c r="M5" s="6" t="n">
        <v>3</v>
      </c>
      <c r="N5" s="6">
        <f>AVERAGE(K5:M5)</f>
        <v/>
      </c>
      <c r="O5" s="7" t="n">
        <v>3</v>
      </c>
      <c r="P5" s="7" t="n">
        <v>3</v>
      </c>
      <c r="Q5" s="7" t="n">
        <v>2</v>
      </c>
      <c r="R5" s="7">
        <f>AVERAGE(O5:Q5)</f>
        <v/>
      </c>
      <c r="S5" s="8">
        <f>F5*0.25+J5*0.3+N5*0.25+R5*0.2</f>
        <v/>
      </c>
      <c r="T5" s="8">
        <f>IF(S5&gt;=4,"S",IF(S5&gt;=3,"A",IF(S5&gt;=2,"B","C")))</f>
        <v/>
      </c>
    </row>
    <row r="6">
      <c r="A6" s="3" t="inlineStr">
        <is>
          <t>AA工作室</t>
        </is>
      </c>
      <c r="B6" s="3" t="inlineStr">
        <is>
          <t>脑洞大挑战</t>
        </is>
      </c>
      <c r="C6" s="4" t="n">
        <v>5</v>
      </c>
      <c r="D6" s="4" t="n">
        <v>5</v>
      </c>
      <c r="E6" s="4" t="n">
        <v>5</v>
      </c>
      <c r="F6" s="4">
        <f>AVERAGE(C6:E6)</f>
        <v/>
      </c>
      <c r="G6" s="5" t="n">
        <v>4</v>
      </c>
      <c r="H6" s="5" t="n">
        <v>5</v>
      </c>
      <c r="I6" s="5" t="n">
        <v>4</v>
      </c>
      <c r="J6" s="5">
        <f>AVERAGE(G6:I6)</f>
        <v/>
      </c>
      <c r="K6" s="6" t="n">
        <v>5</v>
      </c>
      <c r="L6" s="6" t="n">
        <v>5</v>
      </c>
      <c r="M6" s="6" t="n">
        <v>3</v>
      </c>
      <c r="N6" s="6">
        <f>AVERAGE(K6:M6)</f>
        <v/>
      </c>
      <c r="O6" s="7" t="n">
        <v>4</v>
      </c>
      <c r="P6" s="7" t="n">
        <v>3</v>
      </c>
      <c r="Q6" s="7" t="n">
        <v>5</v>
      </c>
      <c r="R6" s="7">
        <f>AVERAGE(O6:Q6)</f>
        <v/>
      </c>
      <c r="S6" s="8">
        <f>F6*0.25+J6*0.3+N6*0.25+R6*0.2</f>
        <v/>
      </c>
      <c r="T6" s="8">
        <f>IF(S6&gt;=4,"S",IF(S6&gt;=3,"A",IF(S6&gt;=2,"B","C")))</f>
        <v/>
      </c>
    </row>
    <row r="7">
      <c r="A7" s="3" t="inlineStr">
        <is>
          <t>BB科技</t>
        </is>
      </c>
      <c r="B7" s="3" t="inlineStr">
        <is>
          <t>末日要塞</t>
        </is>
      </c>
      <c r="C7" s="4" t="n">
        <v>2</v>
      </c>
      <c r="D7" s="4" t="n">
        <v>4</v>
      </c>
      <c r="E7" s="4" t="n">
        <v>2</v>
      </c>
      <c r="F7" s="4">
        <f>AVERAGE(C7:E7)</f>
        <v/>
      </c>
      <c r="G7" s="5" t="n">
        <v>5</v>
      </c>
      <c r="H7" s="5" t="n">
        <v>3</v>
      </c>
      <c r="I7" s="5" t="n">
        <v>5</v>
      </c>
      <c r="J7" s="5">
        <f>AVERAGE(G7:I7)</f>
        <v/>
      </c>
      <c r="K7" s="6" t="n">
        <v>2</v>
      </c>
      <c r="L7" s="6" t="n">
        <v>2</v>
      </c>
      <c r="M7" s="6" t="n">
        <v>2</v>
      </c>
      <c r="N7" s="6">
        <f>AVERAGE(K7:M7)</f>
        <v/>
      </c>
      <c r="O7" s="7" t="n">
        <v>5</v>
      </c>
      <c r="P7" s="7" t="n">
        <v>3</v>
      </c>
      <c r="Q7" s="7" t="n">
        <v>3</v>
      </c>
      <c r="R7" s="7">
        <f>AVERAGE(O7:Q7)</f>
        <v/>
      </c>
      <c r="S7" s="8">
        <f>F7*0.25+J7*0.3+N7*0.25+R7*0.2</f>
        <v/>
      </c>
      <c r="T7" s="8">
        <f>IF(S7&gt;=4,"S",IF(S7&gt;=3,"A",IF(S7&gt;=2,"B","C")))</f>
        <v/>
      </c>
    </row>
    <row r="8">
      <c r="A8" s="3" t="inlineStr">
        <is>
          <t>CC游戏</t>
        </is>
      </c>
      <c r="B8" s="3" t="inlineStr">
        <is>
          <t>合成大作战</t>
        </is>
      </c>
      <c r="C8" s="4" t="n">
        <v>3</v>
      </c>
      <c r="D8" s="4" t="n">
        <v>3</v>
      </c>
      <c r="E8" s="4" t="n">
        <v>5</v>
      </c>
      <c r="F8" s="4">
        <f>AVERAGE(C8:E8)</f>
        <v/>
      </c>
      <c r="G8" s="5" t="n">
        <v>3</v>
      </c>
      <c r="H8" s="5" t="n">
        <v>2</v>
      </c>
      <c r="I8" s="5" t="n">
        <v>4</v>
      </c>
      <c r="J8" s="5">
        <f>AVERAGE(G8:I8)</f>
        <v/>
      </c>
      <c r="K8" s="6" t="n">
        <v>5</v>
      </c>
      <c r="L8" s="6" t="n">
        <v>5</v>
      </c>
      <c r="M8" s="6" t="n">
        <v>3</v>
      </c>
      <c r="N8" s="6">
        <f>AVERAGE(K8:M8)</f>
        <v/>
      </c>
      <c r="O8" s="7" t="n">
        <v>2</v>
      </c>
      <c r="P8" s="7" t="n">
        <v>2</v>
      </c>
      <c r="Q8" s="7" t="n">
        <v>2</v>
      </c>
      <c r="R8" s="7">
        <f>AVERAGE(O8:Q8)</f>
        <v/>
      </c>
      <c r="S8" s="8">
        <f>F8*0.25+J8*0.3+N8*0.25+R8*0.2</f>
        <v/>
      </c>
      <c r="T8" s="8">
        <f>IF(S8&gt;=4,"S",IF(S8&gt;=3,"A",IF(S8&gt;=2,"B","C")))</f>
        <v/>
      </c>
    </row>
    <row r="9">
      <c r="A9" s="3" t="inlineStr">
        <is>
          <t>DD互动</t>
        </is>
      </c>
      <c r="B9" s="3" t="inlineStr">
        <is>
          <t>梦想家园</t>
        </is>
      </c>
      <c r="C9" s="4" t="n">
        <v>3</v>
      </c>
      <c r="D9" s="4" t="n">
        <v>4</v>
      </c>
      <c r="E9" s="4" t="n">
        <v>4</v>
      </c>
      <c r="F9" s="4">
        <f>AVERAGE(C9:E9)</f>
        <v/>
      </c>
      <c r="G9" s="5" t="n">
        <v>4</v>
      </c>
      <c r="H9" s="5" t="n">
        <v>3</v>
      </c>
      <c r="I9" s="5" t="n">
        <v>5</v>
      </c>
      <c r="J9" s="5">
        <f>AVERAGE(G9:I9)</f>
        <v/>
      </c>
      <c r="K9" s="6" t="n">
        <v>4</v>
      </c>
      <c r="L9" s="6" t="n">
        <v>5</v>
      </c>
      <c r="M9" s="6" t="n">
        <v>3</v>
      </c>
      <c r="N9" s="6">
        <f>AVERAGE(K9:M9)</f>
        <v/>
      </c>
      <c r="O9" s="7" t="n">
        <v>3</v>
      </c>
      <c r="P9" s="7" t="n">
        <v>4</v>
      </c>
      <c r="Q9" s="7" t="n">
        <v>3</v>
      </c>
      <c r="R9" s="7">
        <f>AVERAGE(O9:Q9)</f>
        <v/>
      </c>
      <c r="S9" s="8">
        <f>F9*0.25+J9*0.3+N9*0.25+R9*0.2</f>
        <v/>
      </c>
      <c r="T9" s="8">
        <f>IF(S9&gt;=4,"S",IF(S9&gt;=3,"A",IF(S9&gt;=2,"B","C")))</f>
        <v/>
      </c>
    </row>
    <row r="10">
      <c r="A10" s="3" t="inlineStr">
        <is>
          <t>EE网络</t>
        </is>
      </c>
      <c r="B10" s="3" t="inlineStr">
        <is>
          <t>卡牌大师</t>
        </is>
      </c>
      <c r="C10" s="4" t="n">
        <v>2</v>
      </c>
      <c r="D10" s="4" t="n">
        <v>4</v>
      </c>
      <c r="E10" s="4" t="n">
        <v>3</v>
      </c>
      <c r="F10" s="4">
        <f>AVERAGE(C10:E10)</f>
        <v/>
      </c>
      <c r="G10" s="5" t="n">
        <v>4</v>
      </c>
      <c r="H10" s="5" t="n">
        <v>4</v>
      </c>
      <c r="I10" s="5" t="n">
        <v>5</v>
      </c>
      <c r="J10" s="5">
        <f>AVERAGE(G10:I10)</f>
        <v/>
      </c>
      <c r="K10" s="6" t="n">
        <v>3</v>
      </c>
      <c r="L10" s="6" t="n">
        <v>3</v>
      </c>
      <c r="M10" s="6" t="n">
        <v>3</v>
      </c>
      <c r="N10" s="6">
        <f>AVERAGE(K10:M10)</f>
        <v/>
      </c>
      <c r="O10" s="7" t="n">
        <v>4</v>
      </c>
      <c r="P10" s="7" t="n">
        <v>3</v>
      </c>
      <c r="Q10" s="7" t="n">
        <v>3</v>
      </c>
      <c r="R10" s="7">
        <f>AVERAGE(O10:Q10)</f>
        <v/>
      </c>
      <c r="S10" s="8">
        <f>F10*0.25+J10*0.3+N10*0.25+R10*0.2</f>
        <v/>
      </c>
      <c r="T10" s="8">
        <f>IF(S10&gt;=4,"S",IF(S10&gt;=3,"A",IF(S10&gt;=2,"B","C")))</f>
        <v/>
      </c>
    </row>
    <row r="11">
      <c r="A11" s="3" t="n"/>
      <c r="B11" s="3" t="n"/>
      <c r="C11" s="4" t="n"/>
      <c r="D11" s="4" t="n"/>
      <c r="E11" s="4" t="n"/>
      <c r="F11" s="4">
        <f>AVERAGE(C11:E11)</f>
        <v/>
      </c>
      <c r="G11" s="5" t="n"/>
      <c r="H11" s="5" t="n"/>
      <c r="I11" s="5" t="n"/>
      <c r="J11" s="5">
        <f>AVERAGE(G11:I11)</f>
        <v/>
      </c>
      <c r="K11" s="6" t="n"/>
      <c r="L11" s="6" t="n"/>
      <c r="M11" s="6" t="n"/>
      <c r="N11" s="6">
        <f>AVERAGE(K11:M11)</f>
        <v/>
      </c>
      <c r="O11" s="7" t="n"/>
      <c r="P11" s="7" t="n"/>
      <c r="Q11" s="7" t="n"/>
      <c r="R11" s="7">
        <f>AVERAGE(O11:Q11)</f>
        <v/>
      </c>
      <c r="S11" s="8">
        <f>F11*0.25+J11*0.3+N11*0.25+R11*0.2</f>
        <v/>
      </c>
      <c r="T11" s="8">
        <f>IF(S11&gt;=4,"S",IF(S11&gt;=3,"A",IF(S11&gt;=2,"B","C")))</f>
        <v/>
      </c>
    </row>
    <row r="12">
      <c r="A12" s="3" t="n"/>
      <c r="B12" s="3" t="n"/>
      <c r="C12" s="4" t="n"/>
      <c r="D12" s="4" t="n"/>
      <c r="E12" s="4" t="n"/>
      <c r="F12" s="4">
        <f>AVERAGE(C12:E12)</f>
        <v/>
      </c>
      <c r="G12" s="5" t="n"/>
      <c r="H12" s="5" t="n"/>
      <c r="I12" s="5" t="n"/>
      <c r="J12" s="5">
        <f>AVERAGE(G12:I12)</f>
        <v/>
      </c>
      <c r="K12" s="6" t="n"/>
      <c r="L12" s="6" t="n"/>
      <c r="M12" s="6" t="n"/>
      <c r="N12" s="6">
        <f>AVERAGE(K12:M12)</f>
        <v/>
      </c>
      <c r="O12" s="7" t="n"/>
      <c r="P12" s="7" t="n"/>
      <c r="Q12" s="7" t="n"/>
      <c r="R12" s="7">
        <f>AVERAGE(O12:Q12)</f>
        <v/>
      </c>
      <c r="S12" s="8">
        <f>F12*0.25+J12*0.3+N12*0.25+R12*0.2</f>
        <v/>
      </c>
      <c r="T12" s="8">
        <f>IF(S12&gt;=4,"S",IF(S12&gt;=3,"A",IF(S12&gt;=2,"B","C")))</f>
        <v/>
      </c>
    </row>
    <row r="13">
      <c r="A13" s="3" t="n"/>
      <c r="B13" s="3" t="n"/>
      <c r="C13" s="4" t="n"/>
      <c r="D13" s="4" t="n"/>
      <c r="E13" s="4" t="n"/>
      <c r="F13" s="4">
        <f>AVERAGE(C13:E13)</f>
        <v/>
      </c>
      <c r="G13" s="5" t="n"/>
      <c r="H13" s="5" t="n"/>
      <c r="I13" s="5" t="n"/>
      <c r="J13" s="5">
        <f>AVERAGE(G13:I13)</f>
        <v/>
      </c>
      <c r="K13" s="6" t="n"/>
      <c r="L13" s="6" t="n"/>
      <c r="M13" s="6" t="n"/>
      <c r="N13" s="6">
        <f>AVERAGE(K13:M13)</f>
        <v/>
      </c>
      <c r="O13" s="7" t="n"/>
      <c r="P13" s="7" t="n"/>
      <c r="Q13" s="7" t="n"/>
      <c r="R13" s="7">
        <f>AVERAGE(O13:Q13)</f>
        <v/>
      </c>
      <c r="S13" s="8">
        <f>F13*0.25+J13*0.3+N13*0.25+R13*0.2</f>
        <v/>
      </c>
      <c r="T13" s="8">
        <f>IF(S13&gt;=4,"S",IF(S13&gt;=3,"A",IF(S13&gt;=2,"B","C")))</f>
        <v/>
      </c>
    </row>
    <row r="14">
      <c r="A14" s="3" t="n"/>
      <c r="B14" s="3" t="n"/>
      <c r="C14" s="4" t="n"/>
      <c r="D14" s="4" t="n"/>
      <c r="E14" s="4" t="n"/>
      <c r="F14" s="4">
        <f>AVERAGE(C14:E14)</f>
        <v/>
      </c>
      <c r="G14" s="5" t="n"/>
      <c r="H14" s="5" t="n"/>
      <c r="I14" s="5" t="n"/>
      <c r="J14" s="5">
        <f>AVERAGE(G14:I14)</f>
        <v/>
      </c>
      <c r="K14" s="6" t="n"/>
      <c r="L14" s="6" t="n"/>
      <c r="M14" s="6" t="n"/>
      <c r="N14" s="6">
        <f>AVERAGE(K14:M14)</f>
        <v/>
      </c>
      <c r="O14" s="7" t="n"/>
      <c r="P14" s="7" t="n"/>
      <c r="Q14" s="7" t="n"/>
      <c r="R14" s="7">
        <f>AVERAGE(O14:Q14)</f>
        <v/>
      </c>
      <c r="S14" s="8">
        <f>F14*0.25+J14*0.3+N14*0.25+R14*0.2</f>
        <v/>
      </c>
      <c r="T14" s="8">
        <f>IF(S14&gt;=4,"S",IF(S14&gt;=3,"A",IF(S14&gt;=2,"B","C")))</f>
        <v/>
      </c>
    </row>
    <row r="15">
      <c r="A15" s="3" t="n"/>
      <c r="B15" s="3" t="n"/>
      <c r="C15" s="4" t="n"/>
      <c r="D15" s="4" t="n"/>
      <c r="E15" s="4" t="n"/>
      <c r="F15" s="4">
        <f>AVERAGE(C15:E15)</f>
        <v/>
      </c>
      <c r="G15" s="5" t="n"/>
      <c r="H15" s="5" t="n"/>
      <c r="I15" s="5" t="n"/>
      <c r="J15" s="5">
        <f>AVERAGE(G15:I15)</f>
        <v/>
      </c>
      <c r="K15" s="6" t="n"/>
      <c r="L15" s="6" t="n"/>
      <c r="M15" s="6" t="n"/>
      <c r="N15" s="6">
        <f>AVERAGE(K15:M15)</f>
        <v/>
      </c>
      <c r="O15" s="7" t="n"/>
      <c r="P15" s="7" t="n"/>
      <c r="Q15" s="7" t="n"/>
      <c r="R15" s="7">
        <f>AVERAGE(O15:Q15)</f>
        <v/>
      </c>
      <c r="S15" s="8">
        <f>F15*0.25+J15*0.3+N15*0.25+R15*0.2</f>
        <v/>
      </c>
      <c r="T15" s="8">
        <f>IF(S15&gt;=4,"S",IF(S15&gt;=3,"A",IF(S15&gt;=2,"B","C")))</f>
        <v/>
      </c>
    </row>
    <row r="16">
      <c r="A16" s="3" t="n"/>
      <c r="B16" s="3" t="n"/>
      <c r="C16" s="4" t="n"/>
      <c r="D16" s="4" t="n"/>
      <c r="E16" s="4" t="n"/>
      <c r="F16" s="4">
        <f>AVERAGE(C16:E16)</f>
        <v/>
      </c>
      <c r="G16" s="5" t="n"/>
      <c r="H16" s="5" t="n"/>
      <c r="I16" s="5" t="n"/>
      <c r="J16" s="5">
        <f>AVERAGE(G16:I16)</f>
        <v/>
      </c>
      <c r="K16" s="6" t="n"/>
      <c r="L16" s="6" t="n"/>
      <c r="M16" s="6" t="n"/>
      <c r="N16" s="6">
        <f>AVERAGE(K16:M16)</f>
        <v/>
      </c>
      <c r="O16" s="7" t="n"/>
      <c r="P16" s="7" t="n"/>
      <c r="Q16" s="7" t="n"/>
      <c r="R16" s="7">
        <f>AVERAGE(O16:Q16)</f>
        <v/>
      </c>
      <c r="S16" s="8">
        <f>F16*0.25+J16*0.3+N16*0.25+R16*0.2</f>
        <v/>
      </c>
      <c r="T16" s="8">
        <f>IF(S16&gt;=4,"S",IF(S16&gt;=3,"A",IF(S16&gt;=2,"B","C")))</f>
        <v/>
      </c>
    </row>
    <row r="17">
      <c r="A17" s="3" t="n"/>
      <c r="B17" s="3" t="n"/>
      <c r="C17" s="4" t="n"/>
      <c r="D17" s="4" t="n"/>
      <c r="E17" s="4" t="n"/>
      <c r="F17" s="4">
        <f>AVERAGE(C17:E17)</f>
        <v/>
      </c>
      <c r="G17" s="5" t="n"/>
      <c r="H17" s="5" t="n"/>
      <c r="I17" s="5" t="n"/>
      <c r="J17" s="5">
        <f>AVERAGE(G17:I17)</f>
        <v/>
      </c>
      <c r="K17" s="6" t="n"/>
      <c r="L17" s="6" t="n"/>
      <c r="M17" s="6" t="n"/>
      <c r="N17" s="6">
        <f>AVERAGE(K17:M17)</f>
        <v/>
      </c>
      <c r="O17" s="7" t="n"/>
      <c r="P17" s="7" t="n"/>
      <c r="Q17" s="7" t="n"/>
      <c r="R17" s="7">
        <f>AVERAGE(O17:Q17)</f>
        <v/>
      </c>
      <c r="S17" s="8">
        <f>F17*0.25+J17*0.3+N17*0.25+R17*0.2</f>
        <v/>
      </c>
      <c r="T17" s="8">
        <f>IF(S17&gt;=4,"S",IF(S17&gt;=3,"A",IF(S17&gt;=2,"B","C")))</f>
        <v/>
      </c>
    </row>
    <row r="18">
      <c r="A18" s="3" t="n"/>
      <c r="B18" s="3" t="n"/>
      <c r="C18" s="4" t="n"/>
      <c r="D18" s="4" t="n"/>
      <c r="E18" s="4" t="n"/>
      <c r="F18" s="4">
        <f>AVERAGE(C18:E18)</f>
        <v/>
      </c>
      <c r="G18" s="5" t="n"/>
      <c r="H18" s="5" t="n"/>
      <c r="I18" s="5" t="n"/>
      <c r="J18" s="5">
        <f>AVERAGE(G18:I18)</f>
        <v/>
      </c>
      <c r="K18" s="6" t="n"/>
      <c r="L18" s="6" t="n"/>
      <c r="M18" s="6" t="n"/>
      <c r="N18" s="6">
        <f>AVERAGE(K18:M18)</f>
        <v/>
      </c>
      <c r="O18" s="7" t="n"/>
      <c r="P18" s="7" t="n"/>
      <c r="Q18" s="7" t="n"/>
      <c r="R18" s="7">
        <f>AVERAGE(O18:Q18)</f>
        <v/>
      </c>
      <c r="S18" s="8">
        <f>F18*0.25+J18*0.3+N18*0.25+R18*0.2</f>
        <v/>
      </c>
      <c r="T18" s="8">
        <f>IF(S18&gt;=4,"S",IF(S18&gt;=3,"A",IF(S18&gt;=2,"B","C")))</f>
        <v/>
      </c>
    </row>
    <row r="19">
      <c r="A19" s="3" t="n"/>
      <c r="B19" s="3" t="n"/>
      <c r="C19" s="4" t="n"/>
      <c r="D19" s="4" t="n"/>
      <c r="E19" s="4" t="n"/>
      <c r="F19" s="4">
        <f>AVERAGE(C19:E19)</f>
        <v/>
      </c>
      <c r="G19" s="5" t="n"/>
      <c r="H19" s="5" t="n"/>
      <c r="I19" s="5" t="n"/>
      <c r="J19" s="5">
        <f>AVERAGE(G19:I19)</f>
        <v/>
      </c>
      <c r="K19" s="6" t="n"/>
      <c r="L19" s="6" t="n"/>
      <c r="M19" s="6" t="n"/>
      <c r="N19" s="6">
        <f>AVERAGE(K19:M19)</f>
        <v/>
      </c>
      <c r="O19" s="7" t="n"/>
      <c r="P19" s="7" t="n"/>
      <c r="Q19" s="7" t="n"/>
      <c r="R19" s="7">
        <f>AVERAGE(O19:Q19)</f>
        <v/>
      </c>
      <c r="S19" s="8">
        <f>F19*0.25+J19*0.3+N19*0.25+R19*0.2</f>
        <v/>
      </c>
      <c r="T19" s="8">
        <f>IF(S19&gt;=4,"S",IF(S19&gt;=3,"A",IF(S19&gt;=2,"B","C")))</f>
        <v/>
      </c>
    </row>
    <row r="20">
      <c r="A20" s="3" t="n"/>
      <c r="B20" s="3" t="n"/>
      <c r="C20" s="4" t="n"/>
      <c r="D20" s="4" t="n"/>
      <c r="E20" s="4" t="n"/>
      <c r="F20" s="4">
        <f>AVERAGE(C20:E20)</f>
        <v/>
      </c>
      <c r="G20" s="5" t="n"/>
      <c r="H20" s="5" t="n"/>
      <c r="I20" s="5" t="n"/>
      <c r="J20" s="5">
        <f>AVERAGE(G20:I20)</f>
        <v/>
      </c>
      <c r="K20" s="6" t="n"/>
      <c r="L20" s="6" t="n"/>
      <c r="M20" s="6" t="n"/>
      <c r="N20" s="6">
        <f>AVERAGE(K20:M20)</f>
        <v/>
      </c>
      <c r="O20" s="7" t="n"/>
      <c r="P20" s="7" t="n"/>
      <c r="Q20" s="7" t="n"/>
      <c r="R20" s="7">
        <f>AVERAGE(O20:Q20)</f>
        <v/>
      </c>
      <c r="S20" s="8">
        <f>F20*0.25+J20*0.3+N20*0.25+R20*0.2</f>
        <v/>
      </c>
      <c r="T20" s="8">
        <f>IF(S20&gt;=4,"S",IF(S20&gt;=3,"A",IF(S20&gt;=2,"B","C")))</f>
        <v/>
      </c>
    </row>
    <row r="21">
      <c r="A21" s="3" t="n"/>
      <c r="B21" s="3" t="n"/>
      <c r="C21" s="4" t="n"/>
      <c r="D21" s="4" t="n"/>
      <c r="E21" s="4" t="n"/>
      <c r="F21" s="4">
        <f>AVERAGE(C21:E21)</f>
        <v/>
      </c>
      <c r="G21" s="5" t="n"/>
      <c r="H21" s="5" t="n"/>
      <c r="I21" s="5" t="n"/>
      <c r="J21" s="5">
        <f>AVERAGE(G21:I21)</f>
        <v/>
      </c>
      <c r="K21" s="6" t="n"/>
      <c r="L21" s="6" t="n"/>
      <c r="M21" s="6" t="n"/>
      <c r="N21" s="6">
        <f>AVERAGE(K21:M21)</f>
        <v/>
      </c>
      <c r="O21" s="7" t="n"/>
      <c r="P21" s="7" t="n"/>
      <c r="Q21" s="7" t="n"/>
      <c r="R21" s="7">
        <f>AVERAGE(O21:Q21)</f>
        <v/>
      </c>
      <c r="S21" s="8">
        <f>F21*0.25+J21*0.3+N21*0.25+R21*0.2</f>
        <v/>
      </c>
      <c r="T21" s="8">
        <f>IF(S21&gt;=4,"S",IF(S21&gt;=3,"A",IF(S21&gt;=2,"B","C")))</f>
        <v/>
      </c>
    </row>
    <row r="22">
      <c r="A22" s="3" t="n"/>
      <c r="B22" s="3" t="n"/>
      <c r="C22" s="4" t="n"/>
      <c r="D22" s="4" t="n"/>
      <c r="E22" s="4" t="n"/>
      <c r="F22" s="4">
        <f>AVERAGE(C22:E22)</f>
        <v/>
      </c>
      <c r="G22" s="5" t="n"/>
      <c r="H22" s="5" t="n"/>
      <c r="I22" s="5" t="n"/>
      <c r="J22" s="5">
        <f>AVERAGE(G22:I22)</f>
        <v/>
      </c>
      <c r="K22" s="6" t="n"/>
      <c r="L22" s="6" t="n"/>
      <c r="M22" s="6" t="n"/>
      <c r="N22" s="6">
        <f>AVERAGE(K22:M22)</f>
        <v/>
      </c>
      <c r="O22" s="7" t="n"/>
      <c r="P22" s="7" t="n"/>
      <c r="Q22" s="7" t="n"/>
      <c r="R22" s="7">
        <f>AVERAGE(O22:Q22)</f>
        <v/>
      </c>
      <c r="S22" s="8">
        <f>F22*0.25+J22*0.3+N22*0.25+R22*0.2</f>
        <v/>
      </c>
      <c r="T22" s="8">
        <f>IF(S22&gt;=4,"S",IF(S22&gt;=3,"A",IF(S22&gt;=2,"B","C")))</f>
        <v/>
      </c>
    </row>
    <row r="24">
      <c r="A24" s="9" t="inlineStr">
        <is>
          <t>📋 评分标准：1-5分制</t>
        </is>
      </c>
    </row>
    <row r="25">
      <c r="A25" s="9" t="inlineStr">
        <is>
          <t>5分</t>
        </is>
      </c>
      <c r="B25" t="inlineStr">
        <is>
          <t>表现优秀（如DAU≥200万、月投放≥100万、年轻用户≥50%）</t>
        </is>
      </c>
    </row>
    <row r="26">
      <c r="A26" s="9" t="inlineStr">
        <is>
          <t>3分</t>
        </is>
      </c>
      <c r="B26" t="inlineStr">
        <is>
          <t>表现中等（如DAU 50-200万、月投放30-100万、年轻用户30-40%）</t>
        </is>
      </c>
    </row>
    <row r="27">
      <c r="A27" s="9" t="inlineStr">
        <is>
          <t>1分</t>
        </is>
      </c>
      <c r="B27" t="inlineStr">
        <is>
          <t>表现较弱（如DAU&lt;50万、无投放记录、年轻用户&lt;30%）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35" customHeight="1">
      <c r="A1" s="1" t="inlineStr">
        <is>
          <t>📊 客户分档结果</t>
        </is>
      </c>
    </row>
    <row r="2">
      <c r="A2" s="2" t="inlineStr">
        <is>
          <t>客户名称</t>
        </is>
      </c>
      <c r="B2" s="2" t="inlineStr">
        <is>
          <t>游戏名称</t>
        </is>
      </c>
      <c r="C2" s="2" t="inlineStr">
        <is>
          <t>综合得分</t>
        </is>
      </c>
      <c r="D2" s="2" t="inlineStr">
        <is>
          <t>客户等级</t>
        </is>
      </c>
      <c r="E2" s="2" t="inlineStr">
        <is>
          <t>建议策略</t>
        </is>
      </c>
      <c r="F2" s="2" t="inlineStr">
        <is>
          <t>跟进节奏</t>
        </is>
      </c>
      <c r="G2" s="2" t="inlineStr">
        <is>
          <t>销售确认</t>
        </is>
      </c>
    </row>
    <row r="3">
      <c r="A3" s="3" t="inlineStr">
        <is>
          <t>AA工作室</t>
        </is>
      </c>
      <c r="B3" s="3" t="inlineStr">
        <is>
          <t>脑洞大挑战</t>
        </is>
      </c>
      <c r="C3" s="3">
        <f>筛选评分表!S3</f>
        <v/>
      </c>
      <c r="D3" s="3">
        <f>筛选评分表!T3</f>
        <v/>
      </c>
      <c r="E3" s="3" t="inlineStr">
        <is>
          <t>立即定制方案+主动触达</t>
        </is>
      </c>
      <c r="F3" s="3" t="inlineStr">
        <is>
          <t>每周跟进</t>
        </is>
      </c>
      <c r="G3" s="3" t="inlineStr">
        <is>
          <t>已确认</t>
        </is>
      </c>
    </row>
    <row r="4">
      <c r="A4" s="3" t="inlineStr">
        <is>
          <t>XX游戏科技</t>
        </is>
      </c>
      <c r="B4" s="3" t="inlineStr">
        <is>
          <t>开心消消乐2</t>
        </is>
      </c>
      <c r="C4" s="3">
        <f>筛选评分表!S4</f>
        <v/>
      </c>
      <c r="D4" s="3">
        <f>筛选评分表!T4</f>
        <v/>
      </c>
      <c r="E4" s="3" t="inlineStr">
        <is>
          <t>立即定制方案+主动触达</t>
        </is>
      </c>
      <c r="F4" s="3" t="inlineStr">
        <is>
          <t>每周跟进</t>
        </is>
      </c>
      <c r="G4" s="3" t="inlineStr">
        <is>
          <t>已确认</t>
        </is>
      </c>
    </row>
    <row r="5">
      <c r="A5" s="3" t="inlineStr">
        <is>
          <t>DD互动</t>
        </is>
      </c>
      <c r="B5" s="3" t="inlineStr">
        <is>
          <t>梦想家园</t>
        </is>
      </c>
      <c r="C5" s="3">
        <f>筛选评分表!S10</f>
        <v/>
      </c>
      <c r="D5" s="3">
        <f>筛选评分表!T10</f>
        <v/>
      </c>
      <c r="E5" s="3" t="inlineStr">
        <is>
          <t>通用方案+择机触达</t>
        </is>
      </c>
      <c r="F5" s="3" t="inlineStr">
        <is>
          <t>双周跟进</t>
        </is>
      </c>
      <c r="G5" s="3" t="inlineStr">
        <is>
          <t>待确认</t>
        </is>
      </c>
    </row>
    <row r="6">
      <c r="A6" s="3" t="inlineStr">
        <is>
          <t>YY互娱</t>
        </is>
      </c>
      <c r="B6" s="3" t="inlineStr">
        <is>
          <t>王国纪元Lite</t>
        </is>
      </c>
      <c r="C6" s="3">
        <f>筛选评分表!S5</f>
        <v/>
      </c>
      <c r="D6" s="3">
        <f>筛选评分表!T5</f>
        <v/>
      </c>
      <c r="E6" s="3" t="inlineStr">
        <is>
          <t>通用方案+择机触达</t>
        </is>
      </c>
      <c r="F6" s="3" t="inlineStr">
        <is>
          <t>双周跟进</t>
        </is>
      </c>
      <c r="G6" s="3" t="inlineStr">
        <is>
          <t>已确认</t>
        </is>
      </c>
    </row>
    <row r="7">
      <c r="A7" s="3" t="inlineStr">
        <is>
          <t>ZZ网络</t>
        </is>
      </c>
      <c r="B7" s="3" t="inlineStr">
        <is>
          <t>我的小店</t>
        </is>
      </c>
      <c r="C7" s="3">
        <f>筛选评分表!S6</f>
        <v/>
      </c>
      <c r="D7" s="3">
        <f>筛选评分表!T6</f>
        <v/>
      </c>
      <c r="E7" s="3" t="inlineStr">
        <is>
          <t>入池观察+节点触达</t>
        </is>
      </c>
      <c r="F7" s="3" t="inlineStr">
        <is>
          <t>月度关注</t>
        </is>
      </c>
      <c r="G7" s="3" t="inlineStr">
        <is>
          <t>待确认</t>
        </is>
      </c>
    </row>
    <row r="8">
      <c r="A8" s="3" t="inlineStr">
        <is>
          <t>EE网络</t>
        </is>
      </c>
      <c r="B8" s="3" t="inlineStr">
        <is>
          <t>卡牌大师</t>
        </is>
      </c>
      <c r="C8" s="3">
        <f>筛选评分表!S11</f>
        <v/>
      </c>
      <c r="D8" s="3">
        <f>筛选评分表!T11</f>
        <v/>
      </c>
      <c r="E8" s="3" t="inlineStr">
        <is>
          <t>入池观察+节点触达</t>
        </is>
      </c>
      <c r="F8" s="3" t="inlineStr">
        <is>
          <t>月度关注</t>
        </is>
      </c>
      <c r="G8" s="3" t="inlineStr">
        <is>
          <t>—</t>
        </is>
      </c>
    </row>
    <row r="9">
      <c r="A9" s="3" t="inlineStr">
        <is>
          <t>CC游戏</t>
        </is>
      </c>
      <c r="B9" s="3" t="inlineStr">
        <is>
          <t>合成大作战</t>
        </is>
      </c>
      <c r="C9" s="3">
        <f>筛选评分表!S9</f>
        <v/>
      </c>
      <c r="D9" s="3">
        <f>筛选评分表!T9</f>
        <v/>
      </c>
      <c r="E9" s="3" t="inlineStr">
        <is>
          <t>入池观察+节点触达</t>
        </is>
      </c>
      <c r="F9" s="3" t="inlineStr">
        <is>
          <t>月度关注</t>
        </is>
      </c>
      <c r="G9" s="3" t="inlineStr">
        <is>
          <t>—</t>
        </is>
      </c>
    </row>
    <row r="10">
      <c r="A10" s="3" t="inlineStr">
        <is>
          <t>BB科技</t>
        </is>
      </c>
      <c r="B10" s="3" t="inlineStr">
        <is>
          <t>末日要塞</t>
        </is>
      </c>
      <c r="C10" s="3">
        <f>筛选评分表!S8</f>
        <v/>
      </c>
      <c r="D10" s="3">
        <f>筛选评分表!T8</f>
        <v/>
      </c>
      <c r="E10" s="3" t="inlineStr">
        <is>
          <t>暂不跟进</t>
        </is>
      </c>
      <c r="F10" s="3" t="inlineStr">
        <is>
          <t>季度回看</t>
        </is>
      </c>
      <c r="G10" s="3" t="inlineStr">
        <is>
          <t>—</t>
        </is>
      </c>
    </row>
    <row r="11">
      <c r="A11" s="3" t="n"/>
      <c r="B11" s="3" t="n"/>
      <c r="C11" s="3" t="n"/>
      <c r="D11" s="3" t="n"/>
      <c r="E11" s="3" t="n"/>
      <c r="F11" s="3" t="n"/>
      <c r="G11" s="3" t="n"/>
    </row>
    <row r="12">
      <c r="A12" s="3" t="n"/>
      <c r="B12" s="3" t="n"/>
      <c r="C12" s="3" t="n"/>
      <c r="D12" s="3" t="n"/>
      <c r="E12" s="3" t="n"/>
      <c r="F12" s="3" t="n"/>
      <c r="G12" s="3" t="n"/>
    </row>
    <row r="13">
      <c r="A13" s="3" t="n"/>
      <c r="B13" s="3" t="n"/>
      <c r="C13" s="3" t="n"/>
      <c r="D13" s="3" t="n"/>
      <c r="E13" s="3" t="n"/>
      <c r="F13" s="3" t="n"/>
      <c r="G13" s="3" t="n"/>
    </row>
    <row r="14">
      <c r="A14" s="3" t="n"/>
      <c r="B14" s="3" t="n"/>
      <c r="C14" s="3" t="n"/>
      <c r="D14" s="3" t="n"/>
      <c r="E14" s="3" t="n"/>
      <c r="F14" s="3" t="n"/>
      <c r="G14" s="3" t="n"/>
    </row>
    <row r="15">
      <c r="A15" s="3" t="n"/>
      <c r="B15" s="3" t="n"/>
      <c r="C15" s="3" t="n"/>
      <c r="D15" s="3" t="n"/>
      <c r="E15" s="3" t="n"/>
      <c r="F15" s="3" t="n"/>
      <c r="G15" s="3" t="n"/>
    </row>
    <row r="16">
      <c r="A16" s="3" t="n"/>
      <c r="B16" s="3" t="n"/>
      <c r="C16" s="3" t="n"/>
      <c r="D16" s="3" t="n"/>
      <c r="E16" s="3" t="n"/>
      <c r="F16" s="3" t="n"/>
      <c r="G16" s="3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>
      <c r="A18" s="3" t="n"/>
      <c r="B18" s="3" t="n"/>
      <c r="C18" s="3" t="n"/>
      <c r="D18" s="3" t="n"/>
      <c r="E18" s="3" t="n"/>
      <c r="F18" s="3" t="n"/>
      <c r="G18" s="3" t="n"/>
    </row>
    <row r="19">
      <c r="A19" s="3" t="n"/>
      <c r="B19" s="3" t="n"/>
      <c r="C19" s="3" t="n"/>
      <c r="D19" s="3" t="n"/>
      <c r="E19" s="3" t="n"/>
      <c r="F19" s="3" t="n"/>
      <c r="G19" s="3" t="n"/>
    </row>
    <row r="20">
      <c r="A20" s="3" t="n"/>
      <c r="B20" s="3" t="n"/>
      <c r="C20" s="3" t="n"/>
      <c r="D20" s="3" t="n"/>
      <c r="E20" s="3" t="n"/>
      <c r="F20" s="3" t="n"/>
      <c r="G20" s="3" t="n"/>
    </row>
    <row r="21">
      <c r="A21" s="3" t="n"/>
      <c r="B21" s="3" t="n"/>
      <c r="C21" s="3" t="n"/>
      <c r="D21" s="3" t="n"/>
      <c r="E21" s="3" t="n"/>
      <c r="F21" s="3" t="n"/>
      <c r="G21" s="3" t="n"/>
    </row>
    <row r="22">
      <c r="A22" s="3" t="n"/>
      <c r="B22" s="3" t="n"/>
      <c r="C22" s="3" t="n"/>
      <c r="D22" s="3" t="n"/>
      <c r="E22" s="3" t="n"/>
      <c r="F22" s="3" t="n"/>
      <c r="G22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35" customHeight="1">
      <c r="A1" s="1" t="inlineStr">
        <is>
          <t>📝 筛选操作日志</t>
        </is>
      </c>
    </row>
    <row r="2">
      <c r="A2" s="2" t="inlineStr">
        <is>
          <t>日期</t>
        </is>
      </c>
      <c r="B2" s="2" t="inlineStr">
        <is>
          <t>操作人</t>
        </is>
      </c>
      <c r="C2" s="2" t="inlineStr">
        <is>
          <t>操作内容</t>
        </is>
      </c>
      <c r="D2" s="2" t="inlineStr">
        <is>
          <t>新增客户数</t>
        </is>
      </c>
      <c r="E2" s="2" t="inlineStr">
        <is>
          <t>备注</t>
        </is>
      </c>
    </row>
    <row r="3">
      <c r="A3" s="3" t="inlineStr">
        <is>
          <t>2026/3/15</t>
        </is>
      </c>
      <c r="B3" s="3" t="inlineStr">
        <is>
          <t>运营-小王</t>
        </is>
      </c>
      <c r="C3" s="3" t="inlineStr">
        <is>
          <t>首批客户池建立，从榜单+DataTalk导入8个候选客户</t>
        </is>
      </c>
      <c r="D3" s="3" t="n">
        <v>8</v>
      </c>
      <c r="E3" s="3" t="inlineStr">
        <is>
          <t>初始版本</t>
        </is>
      </c>
    </row>
    <row r="4">
      <c r="A4" s="3" t="inlineStr">
        <is>
          <t>2026/3/22</t>
        </is>
      </c>
      <c r="B4" s="3" t="inlineStr">
        <is>
          <t>运营-小王</t>
        </is>
      </c>
      <c r="C4" s="3" t="inlineStr">
        <is>
          <t>完成四维评分打分，产出S/A/B/C分档</t>
        </is>
      </c>
      <c r="D4" s="3" t="n">
        <v>0</v>
      </c>
      <c r="E4" s="3" t="inlineStr">
        <is>
          <t>销售确认中</t>
        </is>
      </c>
    </row>
    <row r="5">
      <c r="A5" s="3" t="inlineStr">
        <is>
          <t>2026/3/28</t>
        </is>
      </c>
      <c r="B5" s="3" t="inlineStr">
        <is>
          <t>运营-小王</t>
        </is>
      </c>
      <c r="C5" s="3" t="inlineStr">
        <is>
          <t>根据本周情报新增2个候选客户（CC游戏、DD互动）</t>
        </is>
      </c>
      <c r="D5" s="3" t="n">
        <v>2</v>
      </c>
      <c r="E5" s="3" t="inlineStr">
        <is>
          <t>待评分</t>
        </is>
      </c>
    </row>
    <row r="6">
      <c r="A6" s="3" t="n"/>
      <c r="B6" s="3" t="n"/>
      <c r="C6" s="3" t="n"/>
      <c r="D6" s="3" t="n"/>
      <c r="E6" s="3" t="n"/>
    </row>
    <row r="7">
      <c r="A7" s="3" t="n"/>
      <c r="B7" s="3" t="n"/>
      <c r="C7" s="3" t="n"/>
      <c r="D7" s="3" t="n"/>
      <c r="E7" s="3" t="n"/>
    </row>
    <row r="8">
      <c r="A8" s="3" t="n"/>
      <c r="B8" s="3" t="n"/>
      <c r="C8" s="3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3" t="n"/>
      <c r="B10" s="3" t="n"/>
      <c r="C10" s="3" t="n"/>
      <c r="D10" s="3" t="n"/>
      <c r="E10" s="3" t="n"/>
    </row>
    <row r="11">
      <c r="A11" s="3" t="n"/>
      <c r="B11" s="3" t="n"/>
      <c r="C11" s="3" t="n"/>
      <c r="D11" s="3" t="n"/>
      <c r="E11" s="3" t="n"/>
    </row>
    <row r="12">
      <c r="A12" s="3" t="n"/>
      <c r="B12" s="3" t="n"/>
      <c r="C12" s="3" t="n"/>
      <c r="D12" s="3" t="n"/>
      <c r="E12" s="3" t="n"/>
    </row>
    <row r="13">
      <c r="A13" s="3" t="n"/>
      <c r="B13" s="3" t="n"/>
      <c r="C13" s="3" t="n"/>
      <c r="D13" s="3" t="n"/>
      <c r="E13" s="3" t="n"/>
    </row>
    <row r="14">
      <c r="A14" s="3" t="n"/>
      <c r="B14" s="3" t="n"/>
      <c r="C14" s="3" t="n"/>
      <c r="D14" s="3" t="n"/>
      <c r="E14" s="3" t="n"/>
    </row>
    <row r="15">
      <c r="A15" s="3" t="n"/>
      <c r="B15" s="3" t="n"/>
      <c r="C15" s="3" t="n"/>
      <c r="D15" s="3" t="n"/>
      <c r="E15" s="3" t="n"/>
    </row>
    <row r="16">
      <c r="A16" s="3" t="n"/>
      <c r="B16" s="3" t="n"/>
      <c r="C16" s="3" t="n"/>
      <c r="D16" s="3" t="n"/>
      <c r="E16" s="3" t="n"/>
    </row>
    <row r="17">
      <c r="A17" s="3" t="n"/>
      <c r="B17" s="3" t="n"/>
      <c r="C17" s="3" t="n"/>
      <c r="D17" s="3" t="n"/>
      <c r="E17" s="3" t="n"/>
    </row>
    <row r="18">
      <c r="A18" s="3" t="n"/>
      <c r="B18" s="3" t="n"/>
      <c r="C18" s="3" t="n"/>
      <c r="D18" s="3" t="n"/>
      <c r="E18" s="3" t="n"/>
    </row>
    <row r="19">
      <c r="A19" s="3" t="n"/>
      <c r="B19" s="3" t="n"/>
      <c r="C19" s="3" t="n"/>
      <c r="D19" s="3" t="n"/>
      <c r="E19" s="3" t="n"/>
    </row>
    <row r="20">
      <c r="A20" s="3" t="n"/>
      <c r="B20" s="3" t="n"/>
      <c r="C20" s="3" t="n"/>
      <c r="D20" s="3" t="n"/>
      <c r="E20" s="3" t="n"/>
    </row>
    <row r="21">
      <c r="A21" s="3" t="n"/>
      <c r="B21" s="3" t="n"/>
      <c r="C21" s="3" t="n"/>
      <c r="D21" s="3" t="n"/>
      <c r="E21" s="3" t="n"/>
    </row>
    <row r="22">
      <c r="A22" s="3" t="n"/>
      <c r="B22" s="3" t="n"/>
      <c r="C22" s="3" t="n"/>
      <c r="D22" s="3" t="n"/>
      <c r="E22" s="3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2026-03-30T04:54:41Z</dcterms:created>
  <dcterms:modified xmlns:dcterms="http://purl.org/dc/terms/" xmlns:xsi="http://www.w3.org/2001/XMLSchema-instance" xsi:type="dcterms:W3CDTF">2026-03-30T04:54:54Z</dcterms:modified>
</cp:coreProperties>
</file>