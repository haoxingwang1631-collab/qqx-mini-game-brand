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数据登记" sheetId="1" state="visible" r:id="rId1"/>
    <sheet xmlns:r="http://schemas.openxmlformats.org/officeDocument/2006/relationships" name="效果对比分析" sheetId="2" state="visible" r:id="rId2"/>
    <sheet xmlns:r="http://schemas.openxmlformats.org/officeDocument/2006/relationships" name="优化建议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5" customHeight="1">
      <c r="A1" s="1" t="inlineStr">
        <is>
          <t>📊 投后复盘与ROI追踪 — 数据登记</t>
        </is>
      </c>
    </row>
    <row r="2">
      <c r="A2" s="2" t="inlineStr">
        <is>
          <t>项目编号</t>
        </is>
      </c>
      <c r="B2" s="2" t="inlineStr">
        <is>
          <t>客户名称</t>
        </is>
      </c>
      <c r="C2" s="2" t="inlineStr">
        <is>
          <t>游戏名称</t>
        </is>
      </c>
      <c r="D2" s="2" t="inlineStr">
        <is>
          <t>品类</t>
        </is>
      </c>
      <c r="E2" s="2" t="inlineStr">
        <is>
          <t>投放档期</t>
        </is>
      </c>
      <c r="F2" s="2" t="inlineStr">
        <is>
          <t>资源位</t>
        </is>
      </c>
      <c r="G2" s="2" t="inlineStr">
        <is>
          <t>总预算(万)</t>
        </is>
      </c>
      <c r="H2" s="2" t="inlineStr">
        <is>
          <t>实际花费(万)</t>
        </is>
      </c>
      <c r="I2" s="2" t="inlineStr">
        <is>
          <t>总曝光量(万)</t>
        </is>
      </c>
      <c r="J2" s="2" t="inlineStr">
        <is>
          <t>总点击量(万)</t>
        </is>
      </c>
      <c r="K2" s="2" t="inlineStr">
        <is>
          <t>点击率CTR</t>
        </is>
      </c>
      <c r="L2" s="2" t="inlineStr">
        <is>
          <t>转化量</t>
        </is>
      </c>
      <c r="M2" s="2" t="inlineStr">
        <is>
          <t>转化率CVR</t>
        </is>
      </c>
      <c r="N2" s="2" t="inlineStr">
        <is>
          <t>CPA(元)</t>
        </is>
      </c>
      <c r="O2" s="2" t="inlineStr">
        <is>
          <t>ROI</t>
        </is>
      </c>
      <c r="P2" s="2" t="inlineStr">
        <is>
          <t>备注</t>
        </is>
      </c>
    </row>
    <row r="3">
      <c r="A3" s="3" t="inlineStr">
        <is>
          <t>PRJ-202601</t>
        </is>
      </c>
      <c r="B3" s="3" t="inlineStr">
        <is>
          <t>某老客户</t>
        </is>
      </c>
      <c r="C3" s="3" t="inlineStr">
        <is>
          <t>消消大作战</t>
        </is>
      </c>
      <c r="D3" s="3" t="inlineStr">
        <is>
          <t>休闲</t>
        </is>
      </c>
      <c r="E3" s="3" t="inlineStr">
        <is>
          <t>2026/1/15-2/15</t>
        </is>
      </c>
      <c r="F3" s="3" t="inlineStr">
        <is>
          <t>QQ空间信息流</t>
        </is>
      </c>
      <c r="G3" s="3" t="n">
        <v>30</v>
      </c>
      <c r="H3" s="3" t="n">
        <v>28.5</v>
      </c>
      <c r="I3" s="3" t="n">
        <v>580</v>
      </c>
      <c r="J3" s="3" t="n">
        <v>23.2</v>
      </c>
      <c r="K3" s="4">
        <f>IF(I3=0,"-",J3/I3)</f>
        <v/>
      </c>
      <c r="L3" s="3" t="n">
        <v>46000</v>
      </c>
      <c r="M3" s="4">
        <f>IF(J3=0,"-",L3/J3)</f>
        <v/>
      </c>
      <c r="N3" s="5">
        <f>IF(L3=0,"-",H3*10000/L3)</f>
        <v/>
      </c>
      <c r="O3" s="4">
        <f>IF(H3=0,"-",L3/(H3*10000))</f>
        <v/>
      </c>
      <c r="P3" s="3" t="inlineStr">
        <is>
          <t>首次合作，效果达标</t>
        </is>
      </c>
    </row>
    <row r="4">
      <c r="A4" s="3" t="inlineStr">
        <is>
          <t>PRJ-202602</t>
        </is>
      </c>
      <c r="B4" s="3" t="inlineStr">
        <is>
          <t>某品牌客户</t>
        </is>
      </c>
      <c r="C4" s="3" t="inlineStr">
        <is>
          <t>合合大冒险</t>
        </is>
      </c>
      <c r="D4" s="3" t="inlineStr">
        <is>
          <t>休闲</t>
        </is>
      </c>
      <c r="E4" s="3" t="inlineStr">
        <is>
          <t>2026/2/1-2/28</t>
        </is>
      </c>
      <c r="F4" s="3" t="inlineStr">
        <is>
          <t>开屏+信息流</t>
        </is>
      </c>
      <c r="G4" s="3" t="n">
        <v>50</v>
      </c>
      <c r="H4" s="3" t="n">
        <v>48</v>
      </c>
      <c r="I4" s="3" t="n">
        <v>1200</v>
      </c>
      <c r="J4" s="3" t="n">
        <v>36</v>
      </c>
      <c r="K4" s="4">
        <f>IF(I4=0,"-",J4/I4)</f>
        <v/>
      </c>
      <c r="L4" s="3" t="n">
        <v>72000</v>
      </c>
      <c r="M4" s="4">
        <f>IF(J4=0,"-",L4/J4)</f>
        <v/>
      </c>
      <c r="N4" s="5">
        <f>IF(L4=0,"-",H4*10000/L4)</f>
        <v/>
      </c>
      <c r="O4" s="4">
        <f>IF(H4=0,"-",L4/(H4*10000))</f>
        <v/>
      </c>
      <c r="P4" s="3" t="inlineStr">
        <is>
          <t>品牌曝光+效果投放组合</t>
        </is>
      </c>
    </row>
    <row r="5">
      <c r="A5" s="3" t="inlineStr">
        <is>
          <t>PRJ-202603</t>
        </is>
      </c>
      <c r="B5" s="3" t="inlineStr">
        <is>
          <t>某SLG客户</t>
        </is>
      </c>
      <c r="C5" s="3" t="inlineStr">
        <is>
          <t>战争与文明M</t>
        </is>
      </c>
      <c r="D5" s="3" t="inlineStr">
        <is>
          <t>SLG</t>
        </is>
      </c>
      <c r="E5" s="3" t="inlineStr">
        <is>
          <t>2026/2/15-3/15</t>
        </is>
      </c>
      <c r="F5" s="3" t="inlineStr">
        <is>
          <t>信息流+社交互动</t>
        </is>
      </c>
      <c r="G5" s="3" t="n">
        <v>80</v>
      </c>
      <c r="H5" s="3" t="n">
        <v>76</v>
      </c>
      <c r="I5" s="3" t="n">
        <v>900</v>
      </c>
      <c r="J5" s="3" t="n">
        <v>18</v>
      </c>
      <c r="K5" s="4">
        <f>IF(I5=0,"-",J5/I5)</f>
        <v/>
      </c>
      <c r="L5" s="3" t="n">
        <v>25000</v>
      </c>
      <c r="M5" s="4">
        <f>IF(J5=0,"-",L5/J5)</f>
        <v/>
      </c>
      <c r="N5" s="5">
        <f>IF(L5=0,"-",H5*10000/L5)</f>
        <v/>
      </c>
      <c r="O5" s="4">
        <f>IF(H5=0,"-",L5/(H5*10000))</f>
        <v/>
      </c>
      <c r="P5" s="3" t="inlineStr">
        <is>
          <t>SLG品类首次尝试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4">
        <f>IF(I6=0,"-",J6/I6)</f>
        <v/>
      </c>
      <c r="L6" s="3" t="n"/>
      <c r="M6" s="4">
        <f>IF(J6=0,"-",L6/J6)</f>
        <v/>
      </c>
      <c r="N6" s="5">
        <f>IF(L6=0,"-",H6*10000/L6)</f>
        <v/>
      </c>
      <c r="O6" s="4">
        <f>IF(H6=0,"-",L6/(H6*10000))</f>
        <v/>
      </c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4">
        <f>IF(I7=0,"-",J7/I7)</f>
        <v/>
      </c>
      <c r="L7" s="3" t="n"/>
      <c r="M7" s="4">
        <f>IF(J7=0,"-",L7/J7)</f>
        <v/>
      </c>
      <c r="N7" s="5">
        <f>IF(L7=0,"-",H7*10000/L7)</f>
        <v/>
      </c>
      <c r="O7" s="4">
        <f>IF(H7=0,"-",L7/(H7*10000))</f>
        <v/>
      </c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4">
        <f>IF(I8=0,"-",J8/I8)</f>
        <v/>
      </c>
      <c r="L8" s="3" t="n"/>
      <c r="M8" s="4">
        <f>IF(J8=0,"-",L8/J8)</f>
        <v/>
      </c>
      <c r="N8" s="5">
        <f>IF(L8=0,"-",H8*10000/L8)</f>
        <v/>
      </c>
      <c r="O8" s="4">
        <f>IF(H8=0,"-",L8/(H8*10000))</f>
        <v/>
      </c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4">
        <f>IF(I9=0,"-",J9/I9)</f>
        <v/>
      </c>
      <c r="L9" s="3" t="n"/>
      <c r="M9" s="4">
        <f>IF(J9=0,"-",L9/J9)</f>
        <v/>
      </c>
      <c r="N9" s="5">
        <f>IF(L9=0,"-",H9*10000/L9)</f>
        <v/>
      </c>
      <c r="O9" s="4">
        <f>IF(H9=0,"-",L9/(H9*10000))</f>
        <v/>
      </c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4">
        <f>IF(I10=0,"-",J10/I10)</f>
        <v/>
      </c>
      <c r="L10" s="3" t="n"/>
      <c r="M10" s="4">
        <f>IF(J10=0,"-",L10/J10)</f>
        <v/>
      </c>
      <c r="N10" s="5">
        <f>IF(L10=0,"-",H10*10000/L10)</f>
        <v/>
      </c>
      <c r="O10" s="4">
        <f>IF(H10=0,"-",L10/(H10*10000))</f>
        <v/>
      </c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4">
        <f>IF(I11=0,"-",J11/I11)</f>
        <v/>
      </c>
      <c r="L11" s="3" t="n"/>
      <c r="M11" s="4">
        <f>IF(J11=0,"-",L11/J11)</f>
        <v/>
      </c>
      <c r="N11" s="5">
        <f>IF(L11=0,"-",H11*10000/L11)</f>
        <v/>
      </c>
      <c r="O11" s="4">
        <f>IF(H11=0,"-",L11/(H11*10000))</f>
        <v/>
      </c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4">
        <f>IF(I12=0,"-",J12/I12)</f>
        <v/>
      </c>
      <c r="L12" s="3" t="n"/>
      <c r="M12" s="4">
        <f>IF(J12=0,"-",L12/J12)</f>
        <v/>
      </c>
      <c r="N12" s="5">
        <f>IF(L12=0,"-",H12*10000/L12)</f>
        <v/>
      </c>
      <c r="O12" s="4">
        <f>IF(H12=0,"-",L12/(H12*10000))</f>
        <v/>
      </c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4">
        <f>IF(I13=0,"-",J13/I13)</f>
        <v/>
      </c>
      <c r="L13" s="3" t="n"/>
      <c r="M13" s="4">
        <f>IF(J13=0,"-",L13/J13)</f>
        <v/>
      </c>
      <c r="N13" s="5">
        <f>IF(L13=0,"-",H13*10000/L13)</f>
        <v/>
      </c>
      <c r="O13" s="4">
        <f>IF(H13=0,"-",L13/(H13*10000))</f>
        <v/>
      </c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4">
        <f>IF(I14=0,"-",J14/I14)</f>
        <v/>
      </c>
      <c r="L14" s="3" t="n"/>
      <c r="M14" s="4">
        <f>IF(J14=0,"-",L14/J14)</f>
        <v/>
      </c>
      <c r="N14" s="5">
        <f>IF(L14=0,"-",H14*10000/L14)</f>
        <v/>
      </c>
      <c r="O14" s="4">
        <f>IF(H14=0,"-",L14/(H14*10000))</f>
        <v/>
      </c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4">
        <f>IF(I15=0,"-",J15/I15)</f>
        <v/>
      </c>
      <c r="L15" s="3" t="n"/>
      <c r="M15" s="4">
        <f>IF(J15=0,"-",L15/J15)</f>
        <v/>
      </c>
      <c r="N15" s="5">
        <f>IF(L15=0,"-",H15*10000/L15)</f>
        <v/>
      </c>
      <c r="O15" s="4">
        <f>IF(H15=0,"-",L15/(H15*10000))</f>
        <v/>
      </c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4">
        <f>IF(I16=0,"-",J16/I16)</f>
        <v/>
      </c>
      <c r="L16" s="3" t="n"/>
      <c r="M16" s="4">
        <f>IF(J16=0,"-",L16/J16)</f>
        <v/>
      </c>
      <c r="N16" s="5">
        <f>IF(L16=0,"-",H16*10000/L16)</f>
        <v/>
      </c>
      <c r="O16" s="4">
        <f>IF(H16=0,"-",L16/(H16*10000))</f>
        <v/>
      </c>
      <c r="P16" s="3" t="n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5" customHeight="1">
      <c r="A1" s="1" t="inlineStr">
        <is>
          <t>📈 效果对比分析</t>
        </is>
      </c>
    </row>
    <row r="2">
      <c r="A2" s="2" t="inlineStr">
        <is>
          <t>指标</t>
        </is>
      </c>
      <c r="B2" s="2" t="inlineStr">
        <is>
          <t>预估值</t>
        </is>
      </c>
      <c r="C2" s="2" t="inlineStr">
        <is>
          <t>实际值</t>
        </is>
      </c>
      <c r="D2" s="2" t="inlineStr">
        <is>
          <t>达成率</t>
        </is>
      </c>
      <c r="E2" s="2" t="inlineStr">
        <is>
          <t>行业基准</t>
        </is>
      </c>
      <c r="F2" s="2" t="inlineStr">
        <is>
          <t>vs基准</t>
        </is>
      </c>
      <c r="G2" s="2" t="inlineStr">
        <is>
          <t>分析说明</t>
        </is>
      </c>
    </row>
    <row r="3">
      <c r="A3" s="3" t="inlineStr">
        <is>
          <t>总曝光量(万)</t>
        </is>
      </c>
      <c r="B3" s="3" t="n">
        <v>500</v>
      </c>
      <c r="C3" s="3" t="n">
        <v>580</v>
      </c>
      <c r="D3" s="6">
        <f>IF(B3=0,"-",C3/B3)</f>
        <v/>
      </c>
      <c r="E3" s="3" t="n">
        <v>550</v>
      </c>
      <c r="F3" s="6">
        <f>IF(E3=0,"-",C3/E3)</f>
        <v/>
      </c>
      <c r="G3" s="3" t="inlineStr">
        <is>
          <t>超预估16%，超行业基准5%</t>
        </is>
      </c>
    </row>
    <row r="4">
      <c r="A4" s="3" t="inlineStr">
        <is>
          <t>总点击量(万)</t>
        </is>
      </c>
      <c r="B4" s="3" t="n">
        <v>20</v>
      </c>
      <c r="C4" s="3" t="n">
        <v>23.2</v>
      </c>
      <c r="D4" s="6">
        <f>IF(B4=0,"-",C4/B4)</f>
        <v/>
      </c>
      <c r="E4" s="3" t="n">
        <v>22</v>
      </c>
      <c r="F4" s="6">
        <f>IF(E4=0,"-",C4/E4)</f>
        <v/>
      </c>
      <c r="G4" s="3" t="inlineStr">
        <is>
          <t>点击表现优秀</t>
        </is>
      </c>
    </row>
    <row r="5">
      <c r="A5" s="3" t="inlineStr">
        <is>
          <t>CTR</t>
        </is>
      </c>
      <c r="B5" s="3" t="inlineStr">
        <is>
          <t>4.0%</t>
        </is>
      </c>
      <c r="C5" s="3" t="inlineStr">
        <is>
          <t>4.0%</t>
        </is>
      </c>
      <c r="D5" s="6">
        <f>IF(B5=0,"-",C5/B5)</f>
        <v/>
      </c>
      <c r="E5" s="3" t="inlineStr">
        <is>
          <t>3.5%</t>
        </is>
      </c>
      <c r="F5" s="6">
        <f>IF(E5=0,"-",C5/E5)</f>
        <v/>
      </c>
      <c r="G5" s="3" t="inlineStr">
        <is>
          <t>CTR达预估，高于行业基准</t>
        </is>
      </c>
    </row>
    <row r="6">
      <c r="A6" s="3" t="inlineStr">
        <is>
          <t>转化量</t>
        </is>
      </c>
      <c r="B6" s="3" t="n">
        <v>40000</v>
      </c>
      <c r="C6" s="3" t="n">
        <v>46000</v>
      </c>
      <c r="D6" s="6">
        <f>IF(B6=0,"-",C6/B6)</f>
        <v/>
      </c>
      <c r="E6" s="3" t="n">
        <v>42000</v>
      </c>
      <c r="F6" s="6">
        <f>IF(E6=0,"-",C6/E6)</f>
        <v/>
      </c>
      <c r="G6" s="3" t="inlineStr">
        <is>
          <t>转化量超预估15%</t>
        </is>
      </c>
    </row>
    <row r="7">
      <c r="A7" s="3" t="inlineStr">
        <is>
          <t>CVR</t>
        </is>
      </c>
      <c r="B7" s="3" t="inlineStr">
        <is>
          <t>0.20%</t>
        </is>
      </c>
      <c r="C7" s="3" t="inlineStr">
        <is>
          <t>0.20%</t>
        </is>
      </c>
      <c r="D7" s="6">
        <f>IF(B7=0,"-",C7/B7)</f>
        <v/>
      </c>
      <c r="E7" s="3" t="inlineStr">
        <is>
          <t>0.19%</t>
        </is>
      </c>
      <c r="F7" s="6">
        <f>IF(E7=0,"-",C7/E7)</f>
        <v/>
      </c>
      <c r="G7" s="3" t="inlineStr">
        <is>
          <t>CVR达标</t>
        </is>
      </c>
    </row>
    <row r="8">
      <c r="A8" s="3" t="inlineStr">
        <is>
          <t>CPA(元)</t>
        </is>
      </c>
      <c r="B8" s="3" t="n">
        <v>7.5</v>
      </c>
      <c r="C8" s="3" t="n">
        <v>6.2</v>
      </c>
      <c r="D8" s="6">
        <f>IF(B8=0,"-",C8/B8)</f>
        <v/>
      </c>
      <c r="E8" s="3" t="n">
        <v>7</v>
      </c>
      <c r="F8" s="6">
        <f>IF(E8=0,"-",C8/E8)</f>
        <v/>
      </c>
      <c r="G8" s="3" t="inlineStr">
        <is>
          <t>CPA低于预估，表现优秀</t>
        </is>
      </c>
    </row>
    <row r="9">
      <c r="A9" s="3" t="inlineStr">
        <is>
          <t>ROI</t>
        </is>
      </c>
      <c r="B9" s="3" t="inlineStr">
        <is>
          <t>1.5</t>
        </is>
      </c>
      <c r="C9" s="3" t="inlineStr">
        <is>
          <t>1.6</t>
        </is>
      </c>
      <c r="D9" s="6">
        <f>IF(B9=0,"-",C9/B9)</f>
        <v/>
      </c>
      <c r="E9" s="3" t="inlineStr">
        <is>
          <t>1.4</t>
        </is>
      </c>
      <c r="F9" s="6">
        <f>IF(E9=0,"-",C9/E9)</f>
        <v/>
      </c>
      <c r="G9" s="3" t="inlineStr">
        <is>
          <t>ROI超预估+行业基准</t>
        </is>
      </c>
    </row>
    <row r="10">
      <c r="A10" s="3" t="inlineStr">
        <is>
          <t>总花费(万)</t>
        </is>
      </c>
      <c r="B10" s="3" t="n">
        <v>30</v>
      </c>
      <c r="C10" s="3" t="n">
        <v>28.5</v>
      </c>
      <c r="D10" s="6">
        <f>IF(B10=0,"-",C10/B10)</f>
        <v/>
      </c>
      <c r="E10" s="3" t="n">
        <v>30</v>
      </c>
      <c r="F10" s="6">
        <f>IF(E10=0,"-",C10/E10)</f>
        <v/>
      </c>
      <c r="G10" s="3" t="inlineStr">
        <is>
          <t>花费控制良好，略低于预算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0" customWidth="1" min="4" max="4"/>
    <col width="20" customWidth="1" min="5" max="5"/>
  </cols>
  <sheetData>
    <row r="1" ht="35" customHeight="1">
      <c r="A1" s="1" t="inlineStr">
        <is>
          <t>💡 优化建议记录</t>
        </is>
      </c>
    </row>
    <row r="2">
      <c r="A2" s="2" t="inlineStr">
        <is>
          <t>项目/客户</t>
        </is>
      </c>
      <c r="B2" s="2" t="inlineStr">
        <is>
          <t>问题发现</t>
        </is>
      </c>
      <c r="C2" s="2" t="inlineStr">
        <is>
          <t>优化建议</t>
        </is>
      </c>
      <c r="D2" s="2" t="inlineStr">
        <is>
          <t>优先级</t>
        </is>
      </c>
      <c r="E2" s="2" t="inlineStr">
        <is>
          <t>执行状态</t>
        </is>
      </c>
    </row>
    <row r="3">
      <c r="A3" s="3" t="inlineStr">
        <is>
          <t>PRJ-202601/消消大作战</t>
        </is>
      </c>
      <c r="B3" s="3" t="inlineStr">
        <is>
          <t>QQ空间信息流CTR可进一步提升</t>
        </is>
      </c>
      <c r="C3" s="3" t="inlineStr">
        <is>
          <t>测试视频素材替换图文素材，预估CTR提升20%+</t>
        </is>
      </c>
      <c r="D3" s="3" t="inlineStr">
        <is>
          <t>高</t>
        </is>
      </c>
      <c r="E3" s="3" t="inlineStr">
        <is>
          <t>待执行</t>
        </is>
      </c>
    </row>
    <row r="4">
      <c r="A4" s="3" t="inlineStr">
        <is>
          <t>PRJ-202602/合合大冒险</t>
        </is>
      </c>
      <c r="B4" s="3" t="inlineStr">
        <is>
          <t>开屏广告曝光大但转化率偏低</t>
        </is>
      </c>
      <c r="C4" s="3" t="inlineStr">
        <is>
          <t>开屏增加互动元素（试玩按钮），或改用互动开屏</t>
        </is>
      </c>
      <c r="D4" s="3" t="inlineStr">
        <is>
          <t>高</t>
        </is>
      </c>
      <c r="E4" s="3" t="inlineStr">
        <is>
          <t>执行中</t>
        </is>
      </c>
    </row>
    <row r="5">
      <c r="A5" s="3" t="inlineStr">
        <is>
          <t>PRJ-202603/战争与文明M</t>
        </is>
      </c>
      <c r="B5" s="3" t="inlineStr">
        <is>
          <t>SLG用户精准度不够，非目标用户占比高</t>
        </is>
      </c>
      <c r="C5" s="3" t="inlineStr">
        <is>
          <t>收窄定向标签，增加QQ群SLG兴趣标签</t>
        </is>
      </c>
      <c r="D5" s="3" t="inlineStr">
        <is>
          <t>中</t>
        </is>
      </c>
      <c r="E5" s="3" t="inlineStr">
        <is>
          <t>待执行</t>
        </is>
      </c>
    </row>
    <row r="6">
      <c r="A6" s="3" t="inlineStr">
        <is>
          <t>通用</t>
        </is>
      </c>
      <c r="B6" s="3" t="inlineStr">
        <is>
          <t>社交互动广告的数据追踪链路不完善</t>
        </is>
      </c>
      <c r="C6" s="3" t="inlineStr">
        <is>
          <t>与产品团队沟通，优化社交互动广告的转化追踪SDK</t>
        </is>
      </c>
      <c r="D6" s="3" t="inlineStr">
        <is>
          <t>高</t>
        </is>
      </c>
      <c r="E6" s="3" t="inlineStr">
        <is>
          <t>待执行</t>
        </is>
      </c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</sheetData>
  <mergeCells count="1">
    <mergeCell ref="A1:E1"/>
  </mergeCells>
  <dataValidations count="2">
    <dataValidation sqref="D3 D4 D5 D6 D7 D8 D9 D10 D11 D12 D13 D14 D15 D16 D17" showDropDown="0" showInputMessage="0" showErrorMessage="0" allowBlank="0" type="list">
      <formula1>"高,中,低"</formula1>
    </dataValidation>
    <dataValidation sqref="E3 E4 E5 E6 E7 E8 E9 E10 E11 E12 E13 E14 E15 E16 E17" showDropDown="0" showInputMessage="0" showErrorMessage="0" allowBlank="0" type="list">
      <formula1>"待执行,执行中,已完成,已取消"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2026-03-30T04:54:41Z</dcterms:created>
  <dcterms:modified xmlns:dcterms="http://purl.org/dc/terms/" xmlns:xsi="http://www.w3.org/2001/XMLSchema-instance" xsi:type="dcterms:W3CDTF">2026-03-30T04:54:54Z</dcterms:modified>
</cp:coreProperties>
</file>